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2.16.104.111_105213" sheetId="1" r:id="rId1"/>
    <sheet name="dut-1_105202" sheetId="2" r:id="rId2"/>
    <sheet name="Summary" sheetId="3" r:id="rId3"/>
    <sheet name="Dashboard" sheetId="4" r:id="rId4"/>
  </sheets>
  <definedNames>
    <definedName name="_xlnm._FilterDatabase" localSheetId="2" hidden="1">Summary!$A$1:$H$3</definedName>
  </definedNames>
  <calcPr calcId="124519" fullCalcOnLoad="1"/>
</workbook>
</file>

<file path=xl/sharedStrings.xml><?xml version="1.0" encoding="utf-8"?>
<sst xmlns="http://schemas.openxmlformats.org/spreadsheetml/2006/main" count="119" uniqueCount="42">
  <si>
    <t>Peer IP</t>
  </si>
  <si>
    <t>Deskripsi</t>
  </si>
  <si>
    <t>IPv4 Received</t>
  </si>
  <si>
    <t>IPv4 Advertised</t>
  </si>
  <si>
    <t>IPv6 Received</t>
  </si>
  <si>
    <t>IPv6 Advertised</t>
  </si>
  <si>
    <t>Total Received</t>
  </si>
  <si>
    <t>Total Advertised</t>
  </si>
  <si>
    <t>State</t>
  </si>
  <si>
    <t>Sumber</t>
  </si>
  <si>
    <t>Delta (Recv-Adv)</t>
  </si>
  <si>
    <t>10.10.4.0</t>
  </si>
  <si>
    <t>10.10.4.1</t>
  </si>
  <si>
    <t>10.10.4.2</t>
  </si>
  <si>
    <t>10.10.5.1</t>
  </si>
  <si>
    <t>10.10.5.3</t>
  </si>
  <si>
    <t>10.10.5.5</t>
  </si>
  <si>
    <t>facing_aleaf0-evpn-overlay</t>
  </si>
  <si>
    <t>facing_bleaf0-evpn-overlay</t>
  </si>
  <si>
    <t>facing_aleaf1-evpn-overlay</t>
  </si>
  <si>
    <t>facing_aleaf0</t>
  </si>
  <si>
    <t>facing_bleaf0</t>
  </si>
  <si>
    <t>facing_aleaf1</t>
  </si>
  <si>
    <t>Established</t>
  </si>
  <si>
    <t>172.16.104.111_105213</t>
  </si>
  <si>
    <t>10.0.22.5</t>
  </si>
  <si>
    <t>10.2.255.5</t>
  </si>
  <si>
    <t>10.8.8.2</t>
  </si>
  <si>
    <t>110.110.110.2</t>
  </si>
  <si>
    <t>172.16.254.6</t>
  </si>
  <si>
    <t>2001:4489:0:10b:1000::6</t>
  </si>
  <si>
    <t>5f00:2:300::1</t>
  </si>
  <si>
    <t>R1.RR-7713</t>
  </si>
  <si>
    <t>Idle</t>
  </si>
  <si>
    <t>Active</t>
  </si>
  <si>
    <t>dut-1_105202</t>
  </si>
  <si>
    <t>Grand Total</t>
  </si>
  <si>
    <t>BGP Neighbors Dashboard</t>
  </si>
  <si>
    <t>Top-10 Sumber by Total Received</t>
  </si>
  <si>
    <t>Overall State Distribution</t>
  </si>
  <si>
    <t>Count</t>
  </si>
  <si>
    <t>Top-10 Received vs Advertised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</si>
</sst>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Top-10 Total Received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Received</c:v>
          </c:tx>
          <c:spPr>
            <a:solidFill>
              <a:srgbClr val="5B9BD5"/>
            </a:solidFill>
          </c:spPr>
          <c:cat>
            <c:strRef>
              <c:f>Dashboard!$A$6:$A$7</c:f>
              <c:strCache>
                <c:ptCount val="2"/>
                <c:pt idx="0">
                  <c:v>172.16.104.111_105213</c:v>
                </c:pt>
                <c:pt idx="1">
                  <c:v>dut-1_105202</c:v>
                </c:pt>
              </c:strCache>
            </c:strRef>
          </c:cat>
          <c:val>
            <c:numRef>
              <c:f>Dashboard!$B$6:$B$7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States</c:v>
          </c:tx>
          <c:dPt>
            <c:idx val="0"/>
            <c:spPr>
              <a:solidFill>
                <a:srgbClr val="70AD47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A5A5A5"/>
              </a:solidFill>
            </c:spPr>
          </c:dPt>
          <c:cat>
            <c:strRef>
              <c:f>Dashboard!$A$13:$A$15</c:f>
              <c:strCache>
                <c:ptCount val="3"/>
                <c:pt idx="0">
                  <c:v>Established</c:v>
                </c:pt>
                <c:pt idx="1">
                  <c:v>Idle</c:v>
                </c:pt>
                <c:pt idx="2">
                  <c:v>Active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firstSliceAng val="0"/>
        <c:holeSize val="6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Received vs Advertised (Top 10)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Total Received</c:v>
          </c:tx>
          <c:spPr>
            <a:solidFill>
              <a:srgbClr val="5B9BD5"/>
            </a:solidFill>
          </c:spPr>
          <c:cat>
            <c:strRef>
              <c:f>Dashboard!$A$21:$A$22</c:f>
              <c:strCache>
                <c:ptCount val="2"/>
                <c:pt idx="0">
                  <c:v>172.16.104.111_105213</c:v>
                </c:pt>
                <c:pt idx="1">
                  <c:v>dut-1_105202</c:v>
                </c:pt>
              </c:strCache>
            </c:strRef>
          </c:cat>
          <c:val>
            <c:numRef>
              <c:f>Dashboard!$B$21:$B$22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Total Advertised</c:v>
          </c:tx>
          <c:spPr>
            <a:solidFill>
              <a:srgbClr val="ED7D31"/>
            </a:solidFill>
          </c:spPr>
          <c:cat>
            <c:strRef>
              <c:f>Dashboard!$A$21:$A$22</c:f>
              <c:strCache>
                <c:ptCount val="2"/>
                <c:pt idx="0">
                  <c:v>172.16.104.111_105213</c:v>
                </c:pt>
                <c:pt idx="1">
                  <c:v>dut-1_105202</c:v>
                </c:pt>
              </c:strCache>
            </c:strRef>
          </c:cat>
          <c:val>
            <c:numRef>
              <c:f>Dashboard!$C$21:$C$22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12</xdr:col>
      <xdr:colOff>457200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10</xdr:row>
      <xdr:rowOff>0</xdr:rowOff>
    </xdr:from>
    <xdr:to>
      <xdr:col>12</xdr:col>
      <xdr:colOff>0</xdr:colOff>
      <xdr:row>27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457200</xdr:colOff>
      <xdr:row>34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7" totalsRowShown="0">
  <autoFilter ref="A1:K7"/>
  <tableColumns count="11">
    <tableColumn id="1" name="Peer IP"/>
    <tableColumn id="2" name="Deskripsi"/>
    <tableColumn id="3" name="IPv4 Received"/>
    <tableColumn id="4" name="IPv4 Advertised"/>
    <tableColumn id="5" name="IPv6 Received"/>
    <tableColumn id="6" name="IPv6 Advertised"/>
    <tableColumn id="7" name="Total Received"/>
    <tableColumn id="8" name="Total Advertised"/>
    <tableColumn id="9" name="State"/>
    <tableColumn id="10" name="Sumber"/>
    <tableColumn id="11" name="Delta (Recv-Adv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8" totalsRowShown="0">
  <autoFilter ref="A1:K8"/>
  <tableColumns count="11">
    <tableColumn id="1" name="Peer IP"/>
    <tableColumn id="2" name="Deskripsi"/>
    <tableColumn id="3" name="IPv4 Received"/>
    <tableColumn id="4" name="IPv4 Advertised"/>
    <tableColumn id="5" name="IPv6 Received"/>
    <tableColumn id="6" name="IPv6 Advertised"/>
    <tableColumn id="7" name="Total Received"/>
    <tableColumn id="8" name="Total Advertised"/>
    <tableColumn id="9" name="State"/>
    <tableColumn id="10" name="Sumber"/>
    <tableColumn id="11" name="Delta (Recv-Adv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K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9.140625" style="1"/>
    <col min="3" max="8" width="9.140625" style="2"/>
    <col min="9" max="10" width="9.140625" style="1"/>
    <col min="11" max="11" width="9.140625" style="2"/>
  </cols>
  <sheetData>
    <row r="1" spans="1:1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1" t="s">
        <v>17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1" t="s">
        <v>23</v>
      </c>
      <c r="J2" s="1" t="s">
        <v>24</v>
      </c>
      <c r="K2" s="2">
        <v>0</v>
      </c>
    </row>
    <row r="3" spans="1:11">
      <c r="A3" s="1" t="s">
        <v>12</v>
      </c>
      <c r="B3" s="1" t="s">
        <v>18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1" t="s">
        <v>23</v>
      </c>
      <c r="J3" s="1" t="s">
        <v>24</v>
      </c>
      <c r="K3" s="2">
        <v>0</v>
      </c>
    </row>
    <row r="4" spans="1:11">
      <c r="A4" s="1" t="s">
        <v>13</v>
      </c>
      <c r="B4" s="1" t="s">
        <v>19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1" t="s">
        <v>23</v>
      </c>
      <c r="J4" s="1" t="s">
        <v>24</v>
      </c>
      <c r="K4" s="2">
        <v>0</v>
      </c>
    </row>
    <row r="5" spans="1:11">
      <c r="A5" s="1" t="s">
        <v>14</v>
      </c>
      <c r="B5" s="1" t="s">
        <v>20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1" t="s">
        <v>23</v>
      </c>
      <c r="J5" s="1" t="s">
        <v>24</v>
      </c>
      <c r="K5" s="2">
        <v>0</v>
      </c>
    </row>
    <row r="6" spans="1:11">
      <c r="A6" s="1" t="s">
        <v>15</v>
      </c>
      <c r="B6" s="1" t="s">
        <v>21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1" t="s">
        <v>23</v>
      </c>
      <c r="J6" s="1" t="s">
        <v>24</v>
      </c>
      <c r="K6" s="2">
        <v>0</v>
      </c>
    </row>
    <row r="7" spans="1:11">
      <c r="A7" s="1" t="s">
        <v>16</v>
      </c>
      <c r="B7" s="1" t="s">
        <v>22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1" t="s">
        <v>23</v>
      </c>
      <c r="J7" s="1" t="s">
        <v>24</v>
      </c>
      <c r="K7" s="2">
        <v>0</v>
      </c>
    </row>
  </sheetData>
  <conditionalFormatting sqref="G2:G7">
    <cfRule type="dataBar" priority="3">
      <dataBar>
        <cfvo type="min" val="0"/>
        <cfvo type="max" val="0"/>
        <color rgb="FF5B9BD5"/>
      </dataBar>
    </cfRule>
  </conditionalFormatting>
  <conditionalFormatting sqref="H2:H7">
    <cfRule type="dataBar" priority="4">
      <dataBar>
        <cfvo type="min" val="0"/>
        <cfvo type="max" val="0"/>
        <color rgb="FF5B9BD5"/>
      </dataBar>
    </cfRule>
  </conditionalFormatting>
  <conditionalFormatting sqref="I2:I7">
    <cfRule type="expression" dxfId="0" priority="1">
      <formula>UPPER($I2)="ESTABLISHED"</formula>
    </cfRule>
    <cfRule type="expression" dxfId="1" priority="2">
      <formula>OR(UPPER($I2)="IDLE",UPPER($I2)="ACTIVE",UPPER($I2)="CONNECT")</formula>
    </cfRule>
  </conditionalFormatting>
  <conditionalFormatting sqref="K2:K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iconSet" priority="6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K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9.140625" style="1"/>
    <col min="3" max="8" width="9.140625" style="2"/>
    <col min="9" max="10" width="9.140625" style="1"/>
    <col min="11" max="11" width="9.140625" style="2"/>
  </cols>
  <sheetData>
    <row r="1" spans="1:1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1" t="s">
        <v>33</v>
      </c>
      <c r="J2" s="1" t="s">
        <v>35</v>
      </c>
      <c r="K2" s="2">
        <v>0</v>
      </c>
    </row>
    <row r="3" spans="1:11">
      <c r="A3" s="1" t="s">
        <v>26</v>
      </c>
      <c r="B3" s="1" t="s">
        <v>32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1" t="s">
        <v>34</v>
      </c>
      <c r="J3" s="1" t="s">
        <v>35</v>
      </c>
      <c r="K3" s="2">
        <v>0</v>
      </c>
    </row>
    <row r="4" spans="1:11">
      <c r="A4" s="1" t="s">
        <v>27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1" t="s">
        <v>23</v>
      </c>
      <c r="J4" s="1" t="s">
        <v>35</v>
      </c>
      <c r="K4" s="2">
        <v>0</v>
      </c>
    </row>
    <row r="5" spans="1:11">
      <c r="A5" s="1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1" t="s">
        <v>33</v>
      </c>
      <c r="J5" s="1" t="s">
        <v>35</v>
      </c>
      <c r="K5" s="2">
        <v>0</v>
      </c>
    </row>
    <row r="6" spans="1:11">
      <c r="A6" s="1" t="s">
        <v>29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1" t="s">
        <v>33</v>
      </c>
      <c r="J6" s="1" t="s">
        <v>35</v>
      </c>
      <c r="K6" s="2">
        <v>0</v>
      </c>
    </row>
    <row r="7" spans="1:11">
      <c r="A7" s="1" t="s">
        <v>30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1" t="s">
        <v>33</v>
      </c>
      <c r="J7" s="1" t="s">
        <v>35</v>
      </c>
      <c r="K7" s="2">
        <v>0</v>
      </c>
    </row>
    <row r="8" spans="1:11">
      <c r="A8" s="1" t="s">
        <v>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1" t="s">
        <v>34</v>
      </c>
      <c r="J8" s="1" t="s">
        <v>35</v>
      </c>
      <c r="K8" s="2">
        <v>0</v>
      </c>
    </row>
  </sheetData>
  <conditionalFormatting sqref="G2:G8">
    <cfRule type="dataBar" priority="3">
      <dataBar>
        <cfvo type="min" val="0"/>
        <cfvo type="max" val="0"/>
        <color rgb="FF5B9BD5"/>
      </dataBar>
    </cfRule>
  </conditionalFormatting>
  <conditionalFormatting sqref="H2:H8">
    <cfRule type="dataBar" priority="4">
      <dataBar>
        <cfvo type="min" val="0"/>
        <cfvo type="max" val="0"/>
        <color rgb="FF5B9BD5"/>
      </dataBar>
    </cfRule>
  </conditionalFormatting>
  <conditionalFormatting sqref="I2:I8">
    <cfRule type="expression" dxfId="0" priority="1">
      <formula>UPPER($I2)="ESTABLISHED"</formula>
    </cfRule>
    <cfRule type="expression" dxfId="1" priority="2">
      <formula>OR(UPPER($I2)="IDLE",UPPER($I2)="ACTIVE",UPPER($I2)="CONNECT")</formula>
    </cfRule>
  </conditionalFormatting>
  <conditionalFormatting sqref="K2:K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iconSet" priority="6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H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9.140625" style="1"/>
    <col min="2" max="8" width="9.140625" style="2"/>
  </cols>
  <sheetData>
    <row r="1" spans="1:8" s="3" customFormat="1">
      <c r="A1" s="3" t="s">
        <v>9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10</v>
      </c>
    </row>
    <row r="2" spans="1:8">
      <c r="A2" s="1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1" t="s">
        <v>35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4" t="s">
        <v>36</v>
      </c>
      <c r="B4" s="2">
        <f>SUBTOTAL(9,B2:B3)</f>
        <v>0</v>
      </c>
      <c r="C4" s="2">
        <f>SUBTOTAL(9,C2:C3)</f>
        <v>0</v>
      </c>
      <c r="D4" s="2">
        <f>SUBTOTAL(9,D2:D3)</f>
        <v>0</v>
      </c>
      <c r="E4" s="2">
        <f>SUBTOTAL(9,E2:E3)</f>
        <v>0</v>
      </c>
      <c r="F4" s="2">
        <f>SUBTOTAL(9,F2:F3)</f>
        <v>0</v>
      </c>
      <c r="G4" s="2">
        <f>SUBTOTAL(9,G2:G3)</f>
        <v>0</v>
      </c>
      <c r="H4" s="2">
        <f>SUBTOTAL(9,H2:H3)</f>
        <v>0</v>
      </c>
    </row>
  </sheetData>
  <autoFilter ref="A1:H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C22"/>
  <sheetViews>
    <sheetView workbookViewId="0"/>
  </sheetViews>
  <sheetFormatPr defaultRowHeight="15"/>
  <sheetData>
    <row r="1" spans="1:2">
      <c r="A1" s="5" t="s">
        <v>37</v>
      </c>
    </row>
    <row r="4" spans="1:2">
      <c r="A4" s="4" t="s">
        <v>38</v>
      </c>
    </row>
    <row r="5" spans="1:2">
      <c r="A5" s="3" t="s">
        <v>9</v>
      </c>
      <c r="B5" s="3" t="s">
        <v>6</v>
      </c>
    </row>
    <row r="6" spans="1:2">
      <c r="A6" t="s">
        <v>24</v>
      </c>
      <c r="B6">
        <v>0</v>
      </c>
    </row>
    <row r="7" spans="1:2">
      <c r="A7" t="s">
        <v>35</v>
      </c>
      <c r="B7">
        <v>0</v>
      </c>
    </row>
    <row r="11" spans="1:2">
      <c r="A11" s="4" t="s">
        <v>39</v>
      </c>
    </row>
    <row r="12" spans="1:2">
      <c r="A12" s="3" t="s">
        <v>8</v>
      </c>
      <c r="B12" s="3" t="s">
        <v>40</v>
      </c>
    </row>
    <row r="13" spans="1:2">
      <c r="A13" t="s">
        <v>23</v>
      </c>
      <c r="B13">
        <v>7</v>
      </c>
    </row>
    <row r="14" spans="1:2">
      <c r="A14" t="s">
        <v>33</v>
      </c>
      <c r="B14">
        <v>4</v>
      </c>
    </row>
    <row r="15" spans="1:2">
      <c r="A15" t="s">
        <v>34</v>
      </c>
      <c r="B15">
        <v>2</v>
      </c>
    </row>
    <row r="19" spans="1:3">
      <c r="A19" s="4" t="s">
        <v>41</v>
      </c>
    </row>
    <row r="20" spans="1:3">
      <c r="A20" s="3" t="s">
        <v>9</v>
      </c>
      <c r="B20" s="3" t="s">
        <v>6</v>
      </c>
      <c r="C20" s="3" t="s">
        <v>7</v>
      </c>
    </row>
    <row r="21" spans="1:3">
      <c r="A21" t="s">
        <v>24</v>
      </c>
      <c r="B21">
        <v>0</v>
      </c>
      <c r="C21">
        <v>0</v>
      </c>
    </row>
    <row r="22" spans="1:3">
      <c r="A22" t="s">
        <v>35</v>
      </c>
      <c r="B22">
        <v>0</v>
      </c>
      <c r="C2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172.16.104.111_105213</vt:lpstr>
      <vt:lpstr>dut-1_105202</vt:lpstr>
      <vt:lpstr>Summary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2026-01-31T03:52:35Z</dcterms:created>
  <dcterms:modified xsi:type="dcterms:W3CDTF">2026-01-31T03:52:35Z</dcterms:modified>
</cp:coreProperties>
</file>